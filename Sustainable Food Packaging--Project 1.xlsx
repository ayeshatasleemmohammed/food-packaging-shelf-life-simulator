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d0b96afa1b72fc/Documents/"/>
    </mc:Choice>
  </mc:AlternateContent>
  <xr:revisionPtr revIDLastSave="0" documentId="8_{6B7E2894-B9EC-4A3F-9E98-F7A80049234A}" xr6:coauthVersionLast="47" xr6:coauthVersionMax="47" xr10:uidLastSave="{00000000-0000-0000-0000-000000000000}"/>
  <bookViews>
    <workbookView xWindow="-108" yWindow="-108" windowWidth="23256" windowHeight="12456" activeTab="1" xr2:uid="{CEAFCB92-0721-4AD6-8E0F-BAFA81D3C119}"/>
  </bookViews>
  <sheets>
    <sheet name="Data_DataBase" sheetId="1" r:id="rId1"/>
    <sheet name="Simulator_eng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2" l="1"/>
  <c r="B17" i="2" s="1"/>
  <c r="B21" i="2" s="1"/>
  <c r="B29" i="2"/>
  <c r="B22" i="2"/>
  <c r="B16" i="2"/>
  <c r="B26" i="2" s="1"/>
  <c r="B15" i="2"/>
  <c r="B18" i="2" s="1"/>
  <c r="B25" i="2" s="1"/>
  <c r="B23" i="2" l="1"/>
  <c r="B24" i="2" s="1"/>
  <c r="B30" i="2" l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</calcChain>
</file>

<file path=xl/sharedStrings.xml><?xml version="1.0" encoding="utf-8"?>
<sst xmlns="http://schemas.openxmlformats.org/spreadsheetml/2006/main" count="48" uniqueCount="46">
  <si>
    <t>Material Name</t>
  </si>
  <si>
    <t>LDPE</t>
  </si>
  <si>
    <t>HDPE</t>
  </si>
  <si>
    <t>PET</t>
  </si>
  <si>
    <t>PLA(Bio-Based)</t>
  </si>
  <si>
    <t>EVOH(High-Barrier)</t>
  </si>
  <si>
    <t>OTR_Base (mL)</t>
  </si>
  <si>
    <t>WVTR_Base (g)</t>
  </si>
  <si>
    <t>Reference Thickness (um)</t>
  </si>
  <si>
    <t>Max_Temp Limit (C)</t>
  </si>
  <si>
    <t>PACKAGING CONFIGURATION</t>
  </si>
  <si>
    <t>Selected Material</t>
  </si>
  <si>
    <t>Film Thickness</t>
  </si>
  <si>
    <t>Package Surface Area</t>
  </si>
  <si>
    <t>Package Headspace Volume</t>
  </si>
  <si>
    <t>Food Product Mass</t>
  </si>
  <si>
    <t>ENVIRONMENTAL AND FOOD CONDITIONS</t>
  </si>
  <si>
    <t>Storage Temperature</t>
  </si>
  <si>
    <t>Initial Gas Flush (O2)</t>
  </si>
  <si>
    <t>Food Respiration Rate (Ro2)</t>
  </si>
  <si>
    <t>Critical Spoilage Limit (O2)</t>
  </si>
  <si>
    <t>Value/Input</t>
  </si>
  <si>
    <t>Units/Description</t>
  </si>
  <si>
    <t>Drop down Selection</t>
  </si>
  <si>
    <t>micro-meter</t>
  </si>
  <si>
    <t>m2</t>
  </si>
  <si>
    <t>mL</t>
  </si>
  <si>
    <t>kg</t>
  </si>
  <si>
    <t>degree celsius</t>
  </si>
  <si>
    <t>percentage</t>
  </si>
  <si>
    <t>mL O2/(kg . day)</t>
  </si>
  <si>
    <t>SELECTED MATERIAL PROPERTIES</t>
  </si>
  <si>
    <t>Base OTR (mL*um / m2*day*atm)</t>
  </si>
  <si>
    <t>Base WVTR(g*um / m2*day*atm)</t>
  </si>
  <si>
    <t>Max Temp Limit ©</t>
  </si>
  <si>
    <t>Actual OTR (mL / m2*day*atm)</t>
  </si>
  <si>
    <t>Actual WVTR (g / m2*day)</t>
  </si>
  <si>
    <t>SIMULATION RESULTS &amp; SHELF LIFE</t>
  </si>
  <si>
    <t>Daily O2 Ingress (mL/day)</t>
  </si>
  <si>
    <t>Daily O2 food Respiration (mL/day)</t>
  </si>
  <si>
    <t>Net Daily O2 Accumulation (mL/day)</t>
  </si>
  <si>
    <t>Estimated Shelf-Life (Days)</t>
  </si>
  <si>
    <t>Daily Moisture Ingress (g/day)</t>
  </si>
  <si>
    <t>Thermal Safety Check</t>
  </si>
  <si>
    <t>Day</t>
  </si>
  <si>
    <t>O2 Concentration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</si>
</sst>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2" fontId="0" fillId="0" borderId="0" xfId="0" applyNumberFormat="1"/>
    <xf numFmtId="10" fontId="0" fillId="0" borderId="0" xfId="0" applyNumberFormat="1" applyProtection="1">
      <protection locked="0"/>
    </xf>
    <xf numFmtId="9" fontId="0" fillId="0" borderId="0" xfId="0" applyNumberFormat="1" applyProtection="1">
      <protection locked="0"/>
    </xf>
    <xf numFmtId="164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30-Day</a:t>
            </a:r>
            <a:r>
              <a:rPr lang="en-US" baseline="0"/>
              <a:t> Headspace O2% Projection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85586176727908"/>
          <c:y val="0.17171296296296298"/>
          <c:w val="0.85662729658792647"/>
          <c:h val="0.62271617089530473"/>
        </c:manualLayout>
      </c:layout>
      <c:lineChart>
        <c:grouping val="standard"/>
        <c:varyColors val="0"/>
        <c:ser>
          <c:idx val="0"/>
          <c:order val="0"/>
          <c:tx>
            <c:strRef>
              <c:f>Simulator_engine!$B$28</c:f>
              <c:strCache>
                <c:ptCount val="1"/>
                <c:pt idx="0">
                  <c:v>O2 Concentration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Simulator_engine!$A$29:$A$59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Simulator_engine!$B$29:$B$59</c:f>
              <c:numCache>
                <c:formatCode>0.0</c:formatCode>
                <c:ptCount val="31"/>
                <c:pt idx="0">
                  <c:v>5.0000000000000001E-3</c:v>
                </c:pt>
                <c:pt idx="1">
                  <c:v>2.6786428571428571</c:v>
                </c:pt>
                <c:pt idx="2">
                  <c:v>5.3522857142857143</c:v>
                </c:pt>
                <c:pt idx="3">
                  <c:v>8.0259285714285724</c:v>
                </c:pt>
                <c:pt idx="4">
                  <c:v>10.69957142857143</c:v>
                </c:pt>
                <c:pt idx="5">
                  <c:v>13.373214285714287</c:v>
                </c:pt>
                <c:pt idx="6">
                  <c:v>16.046857142857142</c:v>
                </c:pt>
                <c:pt idx="7">
                  <c:v>18.720500000000001</c:v>
                </c:pt>
                <c:pt idx="8">
                  <c:v>21.39414285714286</c:v>
                </c:pt>
                <c:pt idx="9">
                  <c:v>24.067785714285719</c:v>
                </c:pt>
                <c:pt idx="10">
                  <c:v>26.741428571428578</c:v>
                </c:pt>
                <c:pt idx="11">
                  <c:v>29.415071428571437</c:v>
                </c:pt>
                <c:pt idx="12">
                  <c:v>32.088714285714296</c:v>
                </c:pt>
                <c:pt idx="13">
                  <c:v>34.762357142857155</c:v>
                </c:pt>
                <c:pt idx="14">
                  <c:v>37.436000000000014</c:v>
                </c:pt>
                <c:pt idx="15">
                  <c:v>40.109642857142873</c:v>
                </c:pt>
                <c:pt idx="16">
                  <c:v>42.783285714285732</c:v>
                </c:pt>
                <c:pt idx="17">
                  <c:v>45.456928571428591</c:v>
                </c:pt>
                <c:pt idx="18">
                  <c:v>48.13057142857145</c:v>
                </c:pt>
                <c:pt idx="19">
                  <c:v>50.804214285714309</c:v>
                </c:pt>
                <c:pt idx="20">
                  <c:v>53.477857142857168</c:v>
                </c:pt>
                <c:pt idx="21">
                  <c:v>56.151500000000027</c:v>
                </c:pt>
                <c:pt idx="22">
                  <c:v>58.825142857142886</c:v>
                </c:pt>
                <c:pt idx="23">
                  <c:v>61.498785714285745</c:v>
                </c:pt>
                <c:pt idx="24">
                  <c:v>64.172428571428597</c:v>
                </c:pt>
                <c:pt idx="25">
                  <c:v>66.846071428571449</c:v>
                </c:pt>
                <c:pt idx="26">
                  <c:v>69.519714285714301</c:v>
                </c:pt>
                <c:pt idx="27">
                  <c:v>72.193357142857153</c:v>
                </c:pt>
                <c:pt idx="28">
                  <c:v>74.867000000000004</c:v>
                </c:pt>
                <c:pt idx="29">
                  <c:v>77.540642857142856</c:v>
                </c:pt>
                <c:pt idx="30">
                  <c:v>80.214285714285708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5F-4DA1-BCBB-1AD6173D3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351104"/>
        <c:axId val="866417136"/>
      </c:lineChart>
      <c:catAx>
        <c:axId val="1249351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(Days)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417136"/>
        <c:crosses val="autoZero"/>
        <c:auto val="1"/>
        <c:lblAlgn val="ctr"/>
        <c:lblOffset val="100"/>
        <c:noMultiLvlLbl val="0"/>
      </c:catAx>
      <c:valAx>
        <c:axId val="8664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O2</a:t>
                </a:r>
                <a:r>
                  <a:rPr lang="en-IN" baseline="0"/>
                  <a:t> Concentration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35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1216603</xdr:colOff>
      <xdr:row>41</xdr:row>
      <xdr:rowOff>152400</xdr:rowOff>
    </xdr:from>
    <xdr:to>
      <xdr:col>10</xdr:col>
      <xdr:colOff>307398</xdr:colOff>
      <xdr:row>56</xdr:row>
      <xdr:rowOff>167986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3C85B1-8599-5C3C-2A0E-59BF98904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393C9F-625A-4778-BB2A-A4BE147D97D7}" name="FilmData" displayName="FilmData" ref="A1:E6" totalsRowShown="0">
  <autoFilter ref="A1:E6" xr:uid="{D7393C9F-625A-4778-BB2A-A4BE147D97D7}"/>
  <tableColumns count="5">
    <tableColumn id="1" xr3:uid="{A4D9DDDF-7564-4BD0-BBC1-98D6AF88D1CA}" name="Material Name"/>
    <tableColumn id="2" xr3:uid="{26157043-0A60-4741-8A82-4F92FD084EA4}" name="OTR_Base (mL)"/>
    <tableColumn id="3" xr3:uid="{865BE1E1-6133-497B-8BC1-CA711DC4C39B}" name="WVTR_Base (g)"/>
    <tableColumn id="4" xr3:uid="{FD2646C7-AD80-4557-ABC3-76AC686CDD1D}" name="Reference Thickness (um)"/>
    <tableColumn id="5" xr3:uid="{B52EEC62-4A4E-4561-ABCA-1CA095ADE77F}" name="Max_Temp Limit (C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CE5B3E-5DF9-453E-B7B0-3E1A4ABE8A0A}" name="Table2" displayName="Table2" ref="A28:B59" totalsRowShown="0">
  <autoFilter ref="A28:B59" xr:uid="{02CE5B3E-5DF9-453E-B7B0-3E1A4ABE8A0A}"/>
  <tableColumns count="2">
    <tableColumn id="1" xr3:uid="{711FE786-CBF5-4012-B956-72334A584D66}" name="Day"/>
    <tableColumn id="2" xr3:uid="{16E9BFC4-1241-4CA9-B6CB-949B1CFBF096}" name="O2 Concentration (%)" dataDxfId="4">
      <calculatedColumnFormula xml:space="preserve"> MAX(0,MIN(100,B28+($B$23/$B$5)*100))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C356-D265-41BC-9B92-2FAA89C4950C}">
  <dimension ref="A1:E6"/>
  <sheetViews>
    <sheetView zoomScale="117" workbookViewId="0">
      <selection activeCell="A2" sqref="A2"/>
    </sheetView>
  </sheetViews>
  <sheetFormatPr defaultRowHeight="14.4" x14ac:dyDescent="0.3"/>
  <cols>
    <col min="1" max="1" width="16.6640625" bestFit="1" customWidth="1"/>
    <col min="2" max="2" width="15.5546875" customWidth="1"/>
    <col min="3" max="3" width="15.6640625" customWidth="1"/>
    <col min="4" max="4" width="24.44140625" customWidth="1"/>
    <col min="5" max="5" width="19.77734375" customWidth="1"/>
  </cols>
  <sheetData>
    <row r="1" spans="1:5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 t="s">
        <v>1</v>
      </c>
      <c r="B2">
        <v>4000</v>
      </c>
      <c r="C2">
        <v>200</v>
      </c>
      <c r="D2">
        <v>25</v>
      </c>
      <c r="E2">
        <v>60</v>
      </c>
    </row>
    <row r="3" spans="1:5" x14ac:dyDescent="0.3">
      <c r="A3" t="s">
        <v>2</v>
      </c>
      <c r="B3">
        <v>1800</v>
      </c>
      <c r="C3">
        <v>45</v>
      </c>
      <c r="D3">
        <v>25</v>
      </c>
      <c r="E3">
        <v>80</v>
      </c>
    </row>
    <row r="4" spans="1:5" x14ac:dyDescent="0.3">
      <c r="A4" t="s">
        <v>3</v>
      </c>
      <c r="B4">
        <v>110</v>
      </c>
      <c r="C4">
        <v>20</v>
      </c>
      <c r="D4">
        <v>25</v>
      </c>
      <c r="E4">
        <v>120</v>
      </c>
    </row>
    <row r="5" spans="1:5" x14ac:dyDescent="0.3">
      <c r="A5" t="s">
        <v>4</v>
      </c>
      <c r="B5">
        <v>1200</v>
      </c>
      <c r="C5">
        <v>320</v>
      </c>
      <c r="D5">
        <v>25</v>
      </c>
      <c r="E5">
        <v>50</v>
      </c>
    </row>
    <row r="6" spans="1:5" x14ac:dyDescent="0.3">
      <c r="A6" t="s">
        <v>5</v>
      </c>
      <c r="B6">
        <v>5</v>
      </c>
      <c r="C6">
        <v>150</v>
      </c>
      <c r="D6">
        <v>25</v>
      </c>
      <c r="E6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D511-8EC3-41C3-95EB-512AB844E749}">
  <dimension ref="A1:C59"/>
  <sheetViews>
    <sheetView tabSelected="1" zoomScale="129" workbookViewId="0">
      <selection activeCell="B16" sqref="B16"/>
    </sheetView>
  </sheetViews>
  <sheetFormatPr defaultRowHeight="14.4" x14ac:dyDescent="0.3"/>
  <cols>
    <col min="1" max="1" width="36.88671875" bestFit="1" customWidth="1"/>
    <col min="2" max="2" width="31.77734375" bestFit="1" customWidth="1"/>
    <col min="3" max="3" width="18.109375" bestFit="1" customWidth="1"/>
  </cols>
  <sheetData>
    <row r="1" spans="1:3" x14ac:dyDescent="0.3">
      <c r="A1" s="1" t="s">
        <v>10</v>
      </c>
      <c r="B1" s="1" t="s">
        <v>21</v>
      </c>
      <c r="C1" s="1" t="s">
        <v>22</v>
      </c>
    </row>
    <row r="2" spans="1:3" x14ac:dyDescent="0.3">
      <c r="A2" t="s">
        <v>11</v>
      </c>
      <c r="B2" s="2" t="s">
        <v>2</v>
      </c>
      <c r="C2" t="s">
        <v>23</v>
      </c>
    </row>
    <row r="3" spans="1:3" x14ac:dyDescent="0.3">
      <c r="A3" t="s">
        <v>12</v>
      </c>
      <c r="B3" s="2">
        <v>80</v>
      </c>
      <c r="C3" t="s">
        <v>24</v>
      </c>
    </row>
    <row r="4" spans="1:3" x14ac:dyDescent="0.3">
      <c r="A4" t="s">
        <v>13</v>
      </c>
      <c r="B4" s="2">
        <v>0.08</v>
      </c>
      <c r="C4" t="s">
        <v>25</v>
      </c>
    </row>
    <row r="5" spans="1:3" x14ac:dyDescent="0.3">
      <c r="A5" t="s">
        <v>14</v>
      </c>
      <c r="B5" s="2">
        <v>350</v>
      </c>
      <c r="C5" t="s">
        <v>26</v>
      </c>
    </row>
    <row r="6" spans="1:3" x14ac:dyDescent="0.3">
      <c r="A6" t="s">
        <v>15</v>
      </c>
      <c r="B6" s="2">
        <v>0.03</v>
      </c>
      <c r="C6" t="s">
        <v>27</v>
      </c>
    </row>
    <row r="7" spans="1:3" x14ac:dyDescent="0.3">
      <c r="A7" s="1" t="s">
        <v>16</v>
      </c>
      <c r="B7" s="2"/>
    </row>
    <row r="8" spans="1:3" x14ac:dyDescent="0.3">
      <c r="A8" t="s">
        <v>17</v>
      </c>
      <c r="B8" s="2">
        <v>23</v>
      </c>
      <c r="C8" t="s">
        <v>28</v>
      </c>
    </row>
    <row r="9" spans="1:3" x14ac:dyDescent="0.3">
      <c r="A9" t="s">
        <v>18</v>
      </c>
      <c r="B9" s="4">
        <v>5.0000000000000001E-3</v>
      </c>
      <c r="C9" t="s">
        <v>29</v>
      </c>
    </row>
    <row r="10" spans="1:3" x14ac:dyDescent="0.3">
      <c r="A10" t="s">
        <v>19</v>
      </c>
      <c r="B10" s="2">
        <v>3</v>
      </c>
      <c r="C10" t="s">
        <v>30</v>
      </c>
    </row>
    <row r="11" spans="1:3" x14ac:dyDescent="0.3">
      <c r="A11" t="s">
        <v>20</v>
      </c>
      <c r="B11" s="5">
        <v>0.05</v>
      </c>
      <c r="C11" t="s">
        <v>29</v>
      </c>
    </row>
    <row r="13" spans="1:3" x14ac:dyDescent="0.3">
      <c r="A13" s="1" t="s">
        <v>31</v>
      </c>
    </row>
    <row r="14" spans="1:3" x14ac:dyDescent="0.3">
      <c r="A14" t="s">
        <v>32</v>
      </c>
      <c r="B14" s="3">
        <f>_xlfn.XLOOKUP(B2,FilmData[Material Name],FilmData[OTR_Base (mL)])</f>
        <v>1800</v>
      </c>
    </row>
    <row r="15" spans="1:3" x14ac:dyDescent="0.3">
      <c r="A15" t="s">
        <v>33</v>
      </c>
      <c r="B15" s="3">
        <f>_xlfn.XLOOKUP(B2,FilmData[Material Name],FilmData[WVTR_Base (g)])</f>
        <v>45</v>
      </c>
    </row>
    <row r="16" spans="1:3" x14ac:dyDescent="0.3">
      <c r="A16" t="s">
        <v>34</v>
      </c>
      <c r="B16" s="3">
        <f xml:space="preserve"> _xlfn.XLOOKUP(B2,FilmData[Material Name],FilmData[Max_Temp Limit (C)])</f>
        <v>80</v>
      </c>
    </row>
    <row r="17" spans="1:2" x14ac:dyDescent="0.3">
      <c r="A17" t="s">
        <v>35</v>
      </c>
      <c r="B17" s="3">
        <f>B14 * (25/B3)</f>
        <v>562.5</v>
      </c>
    </row>
    <row r="18" spans="1:2" x14ac:dyDescent="0.3">
      <c r="A18" t="s">
        <v>36</v>
      </c>
      <c r="B18" s="3">
        <f>B15*(25/B3)</f>
        <v>14.0625</v>
      </c>
    </row>
    <row r="20" spans="1:2" x14ac:dyDescent="0.3">
      <c r="A20" s="1" t="s">
        <v>37</v>
      </c>
    </row>
    <row r="21" spans="1:2" x14ac:dyDescent="0.3">
      <c r="A21" t="s">
        <v>38</v>
      </c>
      <c r="B21" s="6">
        <f>B17*B4*(0.21-(B9/100))</f>
        <v>9.4477499999999992</v>
      </c>
    </row>
    <row r="22" spans="1:2" x14ac:dyDescent="0.3">
      <c r="A22" t="s">
        <v>39</v>
      </c>
      <c r="B22" s="6">
        <f>B6*B10</f>
        <v>0.09</v>
      </c>
    </row>
    <row r="23" spans="1:2" x14ac:dyDescent="0.3">
      <c r="A23" t="s">
        <v>40</v>
      </c>
      <c r="B23" s="6">
        <f xml:space="preserve"> B21-B22</f>
        <v>9.3577499999999993</v>
      </c>
    </row>
    <row r="24" spans="1:2" x14ac:dyDescent="0.3">
      <c r="A24" t="s">
        <v>41</v>
      </c>
      <c r="B24" s="6">
        <f>IF(B23&lt;=0,"Infinite(Respiration Exceeds Leakage)",((B11-B9)*B5)/B23)</f>
        <v>1.6830968982928591</v>
      </c>
    </row>
    <row r="25" spans="1:2" x14ac:dyDescent="0.3">
      <c r="A25" t="s">
        <v>42</v>
      </c>
      <c r="B25" s="6">
        <f>B18*B4</f>
        <v>1.125</v>
      </c>
    </row>
    <row r="26" spans="1:2" x14ac:dyDescent="0.3">
      <c r="A26" t="s">
        <v>43</v>
      </c>
      <c r="B26" t="str">
        <f>IF(B8&gt;B16,"WARNING: TEMP EXCEEDED","TEMP SAFE")</f>
        <v>TEMP SAFE</v>
      </c>
    </row>
    <row r="28" spans="1:2" x14ac:dyDescent="0.3">
      <c r="A28" t="s">
        <v>44</v>
      </c>
      <c r="B28" t="s">
        <v>45</v>
      </c>
    </row>
    <row r="29" spans="1:2" x14ac:dyDescent="0.3">
      <c r="A29">
        <v>0</v>
      </c>
      <c r="B29" s="6">
        <f>B9</f>
        <v>5.0000000000000001E-3</v>
      </c>
    </row>
    <row r="30" spans="1:2" x14ac:dyDescent="0.3">
      <c r="A30">
        <v>1</v>
      </c>
      <c r="B30" s="6">
        <f xml:space="preserve"> MAX(0,MIN(100,B29+($B$23/$B$5)*100))</f>
        <v>2.6786428571428571</v>
      </c>
    </row>
    <row r="31" spans="1:2" x14ac:dyDescent="0.3">
      <c r="A31">
        <v>2</v>
      </c>
      <c r="B31" s="6">
        <f t="shared" ref="B31:B59" si="0" xml:space="preserve"> MAX(0,MIN(100,B30+($B$23/$B$5)*100))</f>
        <v>5.3522857142857143</v>
      </c>
    </row>
    <row r="32" spans="1:2" x14ac:dyDescent="0.3">
      <c r="A32">
        <v>3</v>
      </c>
      <c r="B32" s="6">
        <f t="shared" si="0"/>
        <v>8.0259285714285724</v>
      </c>
    </row>
    <row r="33" spans="1:2" x14ac:dyDescent="0.3">
      <c r="A33">
        <v>4</v>
      </c>
      <c r="B33" s="6">
        <f t="shared" si="0"/>
        <v>10.69957142857143</v>
      </c>
    </row>
    <row r="34" spans="1:2" x14ac:dyDescent="0.3">
      <c r="A34">
        <v>5</v>
      </c>
      <c r="B34" s="6">
        <f t="shared" si="0"/>
        <v>13.373214285714287</v>
      </c>
    </row>
    <row r="35" spans="1:2" x14ac:dyDescent="0.3">
      <c r="A35">
        <v>6</v>
      </c>
      <c r="B35" s="6">
        <f t="shared" si="0"/>
        <v>16.046857142857142</v>
      </c>
    </row>
    <row r="36" spans="1:2" x14ac:dyDescent="0.3">
      <c r="A36">
        <v>7</v>
      </c>
      <c r="B36" s="6">
        <f t="shared" si="0"/>
        <v>18.720500000000001</v>
      </c>
    </row>
    <row r="37" spans="1:2" x14ac:dyDescent="0.3">
      <c r="A37">
        <v>8</v>
      </c>
      <c r="B37" s="6">
        <f t="shared" si="0"/>
        <v>21.39414285714286</v>
      </c>
    </row>
    <row r="38" spans="1:2" x14ac:dyDescent="0.3">
      <c r="A38">
        <v>9</v>
      </c>
      <c r="B38" s="6">
        <f t="shared" si="0"/>
        <v>24.067785714285719</v>
      </c>
    </row>
    <row r="39" spans="1:2" x14ac:dyDescent="0.3">
      <c r="A39">
        <v>10</v>
      </c>
      <c r="B39" s="6">
        <f t="shared" si="0"/>
        <v>26.741428571428578</v>
      </c>
    </row>
    <row r="40" spans="1:2" x14ac:dyDescent="0.3">
      <c r="A40">
        <v>11</v>
      </c>
      <c r="B40" s="6">
        <f t="shared" si="0"/>
        <v>29.415071428571437</v>
      </c>
    </row>
    <row r="41" spans="1:2" x14ac:dyDescent="0.3">
      <c r="A41">
        <v>12</v>
      </c>
      <c r="B41" s="6">
        <f t="shared" si="0"/>
        <v>32.088714285714296</v>
      </c>
    </row>
    <row r="42" spans="1:2" x14ac:dyDescent="0.3">
      <c r="A42">
        <v>13</v>
      </c>
      <c r="B42" s="6">
        <f t="shared" si="0"/>
        <v>34.762357142857155</v>
      </c>
    </row>
    <row r="43" spans="1:2" x14ac:dyDescent="0.3">
      <c r="A43">
        <v>14</v>
      </c>
      <c r="B43" s="6">
        <f t="shared" si="0"/>
        <v>37.436000000000014</v>
      </c>
    </row>
    <row r="44" spans="1:2" x14ac:dyDescent="0.3">
      <c r="A44">
        <v>15</v>
      </c>
      <c r="B44" s="6">
        <f t="shared" si="0"/>
        <v>40.109642857142873</v>
      </c>
    </row>
    <row r="45" spans="1:2" x14ac:dyDescent="0.3">
      <c r="A45">
        <v>16</v>
      </c>
      <c r="B45" s="6">
        <f t="shared" si="0"/>
        <v>42.783285714285732</v>
      </c>
    </row>
    <row r="46" spans="1:2" x14ac:dyDescent="0.3">
      <c r="A46">
        <v>17</v>
      </c>
      <c r="B46" s="6">
        <f t="shared" si="0"/>
        <v>45.456928571428591</v>
      </c>
    </row>
    <row r="47" spans="1:2" x14ac:dyDescent="0.3">
      <c r="A47">
        <v>18</v>
      </c>
      <c r="B47" s="6">
        <f t="shared" si="0"/>
        <v>48.13057142857145</v>
      </c>
    </row>
    <row r="48" spans="1:2" x14ac:dyDescent="0.3">
      <c r="A48">
        <v>19</v>
      </c>
      <c r="B48" s="6">
        <f t="shared" si="0"/>
        <v>50.804214285714309</v>
      </c>
    </row>
    <row r="49" spans="1:2" x14ac:dyDescent="0.3">
      <c r="A49">
        <v>20</v>
      </c>
      <c r="B49" s="6">
        <f t="shared" si="0"/>
        <v>53.477857142857168</v>
      </c>
    </row>
    <row r="50" spans="1:2" x14ac:dyDescent="0.3">
      <c r="A50">
        <v>21</v>
      </c>
      <c r="B50" s="6">
        <f t="shared" si="0"/>
        <v>56.151500000000027</v>
      </c>
    </row>
    <row r="51" spans="1:2" x14ac:dyDescent="0.3">
      <c r="A51">
        <v>22</v>
      </c>
      <c r="B51" s="6">
        <f t="shared" si="0"/>
        <v>58.825142857142886</v>
      </c>
    </row>
    <row r="52" spans="1:2" x14ac:dyDescent="0.3">
      <c r="A52">
        <v>23</v>
      </c>
      <c r="B52" s="6">
        <f t="shared" si="0"/>
        <v>61.498785714285745</v>
      </c>
    </row>
    <row r="53" spans="1:2" x14ac:dyDescent="0.3">
      <c r="A53">
        <v>24</v>
      </c>
      <c r="B53" s="6">
        <f t="shared" si="0"/>
        <v>64.172428571428597</v>
      </c>
    </row>
    <row r="54" spans="1:2" x14ac:dyDescent="0.3">
      <c r="A54">
        <v>25</v>
      </c>
      <c r="B54" s="6">
        <f t="shared" si="0"/>
        <v>66.846071428571449</v>
      </c>
    </row>
    <row r="55" spans="1:2" x14ac:dyDescent="0.3">
      <c r="A55">
        <v>26</v>
      </c>
      <c r="B55" s="6">
        <f t="shared" si="0"/>
        <v>69.519714285714301</v>
      </c>
    </row>
    <row r="56" spans="1:2" x14ac:dyDescent="0.3">
      <c r="A56">
        <v>27</v>
      </c>
      <c r="B56" s="6">
        <f t="shared" si="0"/>
        <v>72.193357142857153</v>
      </c>
    </row>
    <row r="57" spans="1:2" x14ac:dyDescent="0.3">
      <c r="A57">
        <v>28</v>
      </c>
      <c r="B57" s="6">
        <f t="shared" si="0"/>
        <v>74.867000000000004</v>
      </c>
    </row>
    <row r="58" spans="1:2" x14ac:dyDescent="0.3">
      <c r="A58">
        <v>29</v>
      </c>
      <c r="B58" s="6">
        <f t="shared" si="0"/>
        <v>77.540642857142856</v>
      </c>
    </row>
    <row r="59" spans="1:2" x14ac:dyDescent="0.3">
      <c r="A59">
        <v>30</v>
      </c>
      <c r="B59" s="6">
        <f t="shared" si="0"/>
        <v>80.214285714285708</v>
      </c>
    </row>
  </sheetData>
  <conditionalFormatting sqref="B26">
    <cfRule type="containsText" dxfId="3" priority="1" operator="containsText" text="WARNING: TEMP EXCEEDED">
      <formula>NOT(ISERROR(SEARCH("WARNING: TEMP EXCEEDED",B26)))</formula>
    </cfRule>
    <cfRule type="containsText" dxfId="2" priority="2" operator="containsText" text="TEMP SAFE">
      <formula>NOT(ISERROR(SEARCH("TEMP SAFE",B26)))</formula>
    </cfRule>
    <cfRule type="containsText" dxfId="1" priority="3" operator="containsText" text="TEMP SAFE">
      <formula>NOT(ISERROR(SEARCH("TEMP SAFE",B26)))</formula>
    </cfRule>
    <cfRule type="containsText" dxfId="0" priority="4" operator="containsText" text="WARNING">
      <formula>NOT(ISERROR(SEARCH("WARNING",B26)))</formula>
    </cfRule>
  </conditionalFormatting>
  <dataValidations count="1">
    <dataValidation type="list" allowBlank="1" showInputMessage="1" showErrorMessage="1" sqref="B2" xr:uid="{C8B87E96-13E9-4480-B377-F6590EC0028E}">
      <formula1>INDIRECT("FilmData[Material Name]")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Data_DataBase</vt:lpstr>
      <vt:lpstr>Simulator_engine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AYESHA TASLEEM</dc:creator>
  <cp:lastModifiedBy>MOHAMMED AYESHA TASLEEM</cp:lastModifiedBy>
  <dcterms:created xsi:type="dcterms:W3CDTF">2026-10-02T08:47:31Z</dcterms:created>
  <dcterms:modified xsi:type="dcterms:W3CDTF">2026-10-03T15:42:26Z</dcterms:modified>
</cp:coreProperties>
</file>